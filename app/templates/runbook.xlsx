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0108571\Downloads\12345\"/>
    </mc:Choice>
  </mc:AlternateContent>
  <xr:revisionPtr revIDLastSave="0" documentId="13_ncr:1_{0A1A15E8-9297-4598-9BF9-0296FF038372}" xr6:coauthVersionLast="47" xr6:coauthVersionMax="47" xr10:uidLastSave="{00000000-0000-0000-0000-000000000000}"/>
  <bookViews>
    <workbookView xWindow="28680" yWindow="-120" windowWidth="29040" windowHeight="15720" tabRatio="417" xr2:uid="{00000000-000D-0000-FFFF-FFFF00000000}"/>
  </bookViews>
  <sheets>
    <sheet name="RunBook" sheetId="1" r:id="rId1"/>
    <sheet name="Contact  List" sheetId="11" r:id="rId2"/>
    <sheet name="Actual Start-End" sheetId="13" r:id="rId3"/>
  </sheets>
  <definedNames>
    <definedName name="_xlnm.Print_Titles" localSheetId="0">RunBook!$1:$3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1" l="1"/>
  <c r="G7" i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4" i="1" s="1"/>
  <c r="G14" i="1" s="1"/>
  <c r="F15" i="1" s="1"/>
  <c r="G15" i="1" s="1"/>
  <c r="F16" i="1" s="1"/>
  <c r="G16" i="1" s="1"/>
  <c r="F17" i="1" s="1"/>
  <c r="G17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G5" i="1"/>
</calcChain>
</file>

<file path=xl/sharedStrings.xml><?xml version="1.0" encoding="utf-8"?>
<sst xmlns="http://schemas.openxmlformats.org/spreadsheetml/2006/main" count="252" uniqueCount="189">
  <si>
    <t>Activities</t>
  </si>
  <si>
    <t>Responsible Parties</t>
  </si>
  <si>
    <t>Planned
Date / Period</t>
  </si>
  <si>
    <t>Contingency Plans</t>
  </si>
  <si>
    <t>SN</t>
  </si>
  <si>
    <t>Pre-Launch Activity</t>
  </si>
  <si>
    <t>Implementation Day</t>
  </si>
  <si>
    <t>Plan Start Time</t>
  </si>
  <si>
    <t>Plan End Time</t>
  </si>
  <si>
    <t>Actual Start Time</t>
  </si>
  <si>
    <t>Actual End Time</t>
  </si>
  <si>
    <t xml:space="preserve">Runbook Title:
</t>
  </si>
  <si>
    <t>Change Request Reference:</t>
  </si>
  <si>
    <t>AC</t>
  </si>
  <si>
    <t>DK</t>
  </si>
  <si>
    <t>SS</t>
  </si>
  <si>
    <t>WN</t>
  </si>
  <si>
    <t>YS</t>
  </si>
  <si>
    <t>Post-implementation Activity</t>
  </si>
  <si>
    <t>Verification</t>
  </si>
  <si>
    <t>Verified By</t>
  </si>
  <si>
    <t>RY</t>
  </si>
  <si>
    <t>6</t>
  </si>
  <si>
    <t>Plan Duration (Min)</t>
  </si>
  <si>
    <t>Actual Plan Duration (Min)</t>
  </si>
  <si>
    <t>Team</t>
  </si>
  <si>
    <t>Initial</t>
  </si>
  <si>
    <t>Name</t>
  </si>
  <si>
    <t>Infra</t>
  </si>
  <si>
    <t>BC</t>
  </si>
  <si>
    <t>Benedict Choy Hoeh Sieng (DL)</t>
  </si>
  <si>
    <t>CHIN Wei Ngee (SDM)</t>
  </si>
  <si>
    <t>SK</t>
  </si>
  <si>
    <t>Sureshkumar Krishnan (DSDM/ITSM Lead)</t>
  </si>
  <si>
    <t>CHONG Yeh Sun (Technical Lead)</t>
  </si>
  <si>
    <t>CHOO Teng Chong (Operation Lead)</t>
  </si>
  <si>
    <t>Samiran SARKAR</t>
  </si>
  <si>
    <t>Dini KOH Kok Beng</t>
  </si>
  <si>
    <t>RM</t>
  </si>
  <si>
    <t>Rozlan MOHAMED</t>
  </si>
  <si>
    <t>KR</t>
  </si>
  <si>
    <t>Koduvayur Raman</t>
  </si>
  <si>
    <t>GM</t>
  </si>
  <si>
    <t>ONG Gim Eng</t>
  </si>
  <si>
    <t>TS</t>
  </si>
  <si>
    <t>Temmy Setiawan</t>
  </si>
  <si>
    <t>KOH Ren Yong</t>
  </si>
  <si>
    <t>Security</t>
  </si>
  <si>
    <t>WK</t>
  </si>
  <si>
    <t>Wendy Koh Chin Chin</t>
  </si>
  <si>
    <t>OPS</t>
  </si>
  <si>
    <t>DL</t>
  </si>
  <si>
    <t>Darrell Leong (PD)</t>
  </si>
  <si>
    <t>AT</t>
  </si>
  <si>
    <t>Alan Tan (SM)</t>
  </si>
  <si>
    <t>ET</t>
  </si>
  <si>
    <t>Eric Tan (SCCM)</t>
  </si>
  <si>
    <t>VC</t>
  </si>
  <si>
    <t>Vivan Chen (CCM)</t>
  </si>
  <si>
    <t>FL</t>
  </si>
  <si>
    <t>Fanny Lee  (SQTM)</t>
  </si>
  <si>
    <t>CSU</t>
  </si>
  <si>
    <t>ET1</t>
  </si>
  <si>
    <t>Earl Tan (CSL)</t>
  </si>
  <si>
    <t>CG</t>
  </si>
  <si>
    <t>Yap Chee Guan (CDL)</t>
  </si>
  <si>
    <t>AS</t>
  </si>
  <si>
    <t>Kwek Ai Ser (AM)</t>
  </si>
  <si>
    <t>CY</t>
  </si>
  <si>
    <t>Colleen Yeo Peh Peh</t>
  </si>
  <si>
    <t>RL</t>
  </si>
  <si>
    <t>Ryan Lam</t>
  </si>
  <si>
    <t>CRD</t>
  </si>
  <si>
    <t>CW</t>
  </si>
  <si>
    <t>Tan Che Wei (SADMCM)</t>
  </si>
  <si>
    <t>MS</t>
  </si>
  <si>
    <t>Muhammad Syafiq MOHAMED SALLEH (SMCC1)</t>
  </si>
  <si>
    <t>JC</t>
  </si>
  <si>
    <t>Janet Chia (MCCS1)</t>
  </si>
  <si>
    <t>AT1</t>
  </si>
  <si>
    <t>Andrea Tong (CD)</t>
  </si>
  <si>
    <t>AA</t>
  </si>
  <si>
    <t>Asyraaf Azman (ECCS)</t>
  </si>
  <si>
    <t>ES</t>
  </si>
  <si>
    <t>Eugene Seah (PMCS)</t>
  </si>
  <si>
    <t>VT</t>
  </si>
  <si>
    <t xml:space="preserve">Vincent Tan </t>
  </si>
  <si>
    <t>ISTD</t>
  </si>
  <si>
    <t>AW</t>
  </si>
  <si>
    <t>Adrian Wong (SADISTD)</t>
  </si>
  <si>
    <t>JS</t>
  </si>
  <si>
    <t>Joshua Seah (ISTD1)</t>
  </si>
  <si>
    <t>TY</t>
  </si>
  <si>
    <t>Tannie Yeoh (ISTD2)</t>
  </si>
  <si>
    <t>TT</t>
  </si>
  <si>
    <t>Tony Tan</t>
  </si>
  <si>
    <t>WF</t>
  </si>
  <si>
    <t>Cheong Wai Fong</t>
  </si>
  <si>
    <t>MC</t>
  </si>
  <si>
    <t>Mabel Chia</t>
  </si>
  <si>
    <t>Hostname</t>
  </si>
  <si>
    <t xml:space="preserve">Actual start time </t>
  </si>
  <si>
    <t>Actual end time</t>
  </si>
  <si>
    <t>BBPMSAS09</t>
  </si>
  <si>
    <t>BBPMSAS10</t>
  </si>
  <si>
    <t>BBPMSAS11</t>
  </si>
  <si>
    <t>BBPMSAS12</t>
  </si>
  <si>
    <t>BBPMSAS13</t>
  </si>
  <si>
    <t>BBPMSAS14</t>
  </si>
  <si>
    <t>BBPMSAS22</t>
  </si>
  <si>
    <t>BBPMSAS220</t>
  </si>
  <si>
    <t>BBPMSAS23</t>
  </si>
  <si>
    <t>BBPMSAS24</t>
  </si>
  <si>
    <t>BBPMSAS25</t>
  </si>
  <si>
    <t>BBPMSAS26</t>
  </si>
  <si>
    <t>BBPMSAS27</t>
  </si>
  <si>
    <t>BBPMSAS28</t>
  </si>
  <si>
    <t>BBPMSAS29</t>
  </si>
  <si>
    <t>BBPMSAS30</t>
  </si>
  <si>
    <t>BBPMSAS31</t>
  </si>
  <si>
    <t>BBPMSAS32</t>
  </si>
  <si>
    <t>BBPMSAS33</t>
  </si>
  <si>
    <t>BBPMSAS34</t>
  </si>
  <si>
    <t>BBPMSAS35</t>
  </si>
  <si>
    <t>BBPMSAS36</t>
  </si>
  <si>
    <t>BBPMSAS37</t>
  </si>
  <si>
    <t>BBPMSAS38</t>
  </si>
  <si>
    <t>BBPMSAS40</t>
  </si>
  <si>
    <t>BBPMSAS41</t>
  </si>
  <si>
    <t>BBPMSAS52</t>
  </si>
  <si>
    <t>BBPMSAS53</t>
  </si>
  <si>
    <t>BBPMSAS66</t>
  </si>
  <si>
    <t>BBPMSAS70</t>
  </si>
  <si>
    <t>BBPMSAS71</t>
  </si>
  <si>
    <t>BBPMSAS74</t>
  </si>
  <si>
    <t>BBPMSAS85</t>
  </si>
  <si>
    <t>BBPMSAS87</t>
  </si>
  <si>
    <t>BBPMSBU218</t>
  </si>
  <si>
    <t>BBPMSBU219</t>
  </si>
  <si>
    <t>BBPMSDB42</t>
  </si>
  <si>
    <t>BBPMSDB43</t>
  </si>
  <si>
    <t>BBPMSDB44</t>
  </si>
  <si>
    <t>BBPMSDB45</t>
  </si>
  <si>
    <t>BBPMSDB46</t>
  </si>
  <si>
    <t>BBPMSDB47</t>
  </si>
  <si>
    <t>BBPMSDB48</t>
  </si>
  <si>
    <t>BBPMSDB49</t>
  </si>
  <si>
    <t>BBPMSDB51</t>
  </si>
  <si>
    <t>BBPMSDB84</t>
  </si>
  <si>
    <t>BBPMSVC217</t>
  </si>
  <si>
    <t>30/Aug/2025 (Sat) 2:35 PM</t>
  </si>
  <si>
    <t>f</t>
  </si>
  <si>
    <t>30/Aug/2025 (Sat) 3:00 PM</t>
  </si>
  <si>
    <t xml:space="preserve">30/Aug/2025 (Sat) 3:00 PM
</t>
  </si>
  <si>
    <t>30/Aug/2025 (Sat) 3:25 PM</t>
  </si>
  <si>
    <t xml:space="preserve">30/Aug/2025 (Sat) 2:10 PM
</t>
  </si>
  <si>
    <t>30/Aug/2025 (Sat) 3:03 PM</t>
  </si>
  <si>
    <t>30/Aug/2025 (Sat) 3:13 PM</t>
  </si>
  <si>
    <t>30/Aug/2025 (Sat) 2:47 PM</t>
  </si>
  <si>
    <t>30/Aug/2025 (Sat) 3:37 PM</t>
  </si>
  <si>
    <t xml:space="preserve">30/Aug/2025 (Sat) 3:35 PM
</t>
  </si>
  <si>
    <t>30/Aug/2025 (Sat) 4:25 PM</t>
  </si>
  <si>
    <t>30/Aug/2025 (Sat) 3:05 PM</t>
  </si>
  <si>
    <t>30/Aug/2025 (Sat) 3:15 PM</t>
  </si>
  <si>
    <t>30/Aug/2025 (Sat) 3:30 PM</t>
  </si>
  <si>
    <t>30/Aug/2025 (Sat) 3:55 PM</t>
  </si>
  <si>
    <t>30/Aug/2025 (Sat) 4:15 PM</t>
  </si>
  <si>
    <t>30/Aug/2025 (Sat) 4:00 PM</t>
  </si>
  <si>
    <t>30/Aug/2025 (Sat) 3:40 PM</t>
  </si>
  <si>
    <t>30/Aug/2025 (Sat) 4:10 PM</t>
  </si>
  <si>
    <t>30/Aug/2025 (Sat) 5:48 PM</t>
  </si>
  <si>
    <t>30/Aug/2025 (Sat) 4:05 PM</t>
  </si>
  <si>
    <t>30/Aug/2025 (Sat) 5:55 PM</t>
  </si>
  <si>
    <t>30/Aug/2025 (Sat) 5:00 PM</t>
  </si>
  <si>
    <t>30/Aug/2025 (Sat) 4:30 PM</t>
  </si>
  <si>
    <t>30/Aug/2025 (Sat) 5:25 PM</t>
  </si>
  <si>
    <t>30/Aug/2025 (Sat) 5:20 PM</t>
  </si>
  <si>
    <t xml:space="preserve">30/Aug/2025 (Sat) 5:00 PM
</t>
  </si>
  <si>
    <t>30/Aug/2025 (Sat) 5:15 PM</t>
  </si>
  <si>
    <t>30/Aug/2025 (Sat) 5:40 PM</t>
  </si>
  <si>
    <t>30/Aug/2025 (Sat) 4:40 PM</t>
  </si>
  <si>
    <t>30/Aug/2025 (Sat) 6:00 PM</t>
  </si>
  <si>
    <t>1.2</t>
  </si>
  <si>
    <t>3.1</t>
  </si>
  <si>
    <t>3.2</t>
  </si>
  <si>
    <t>3.3</t>
  </si>
  <si>
    <t>3.4</t>
  </si>
  <si>
    <t>Rollback Decision at 19-Jun-2026 (Fri) 10:00 PM</t>
  </si>
  <si>
    <t>MOMCC-2026xxxx-xx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</si>
</sst>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\(ddd\)\ h:mm\ AM/PM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trike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6" fillId="0" borderId="0"/>
    <xf numFmtId="0" fontId="14" fillId="0" borderId="0"/>
    <xf numFmtId="0" fontId="12" fillId="0" borderId="0"/>
    <xf numFmtId="0" fontId="5" fillId="0" borderId="0"/>
    <xf numFmtId="0" fontId="4" fillId="0" borderId="0"/>
    <xf numFmtId="0" fontId="2" fillId="0" borderId="0"/>
    <xf numFmtId="0" fontId="2" fillId="0" borderId="0"/>
  </cellStyleXfs>
  <cellXfs count="60">
    <xf numFmtId="0" fontId="0" fillId="0" borderId="0" xfId="0"/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49" fontId="24" fillId="8" borderId="2" xfId="0" applyNumberFormat="1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right" vertical="center"/>
    </xf>
    <xf numFmtId="49" fontId="20" fillId="0" borderId="5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2" fillId="3" borderId="6" xfId="0" applyFont="1" applyFill="1" applyBorder="1" applyAlignment="1">
      <alignment horizontal="right" vertical="center"/>
    </xf>
    <xf numFmtId="0" fontId="9" fillId="3" borderId="1" xfId="3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164" fontId="23" fillId="3" borderId="1" xfId="0" applyNumberFormat="1" applyFont="1" applyFill="1" applyBorder="1" applyAlignment="1">
      <alignment horizontal="center" vertical="center"/>
    </xf>
    <xf numFmtId="164" fontId="24" fillId="8" borderId="2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64" fontId="23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11" fillId="0" borderId="0" xfId="3" applyNumberFormat="1" applyFont="1" applyAlignment="1">
      <alignment horizontal="center" vertical="center"/>
    </xf>
    <xf numFmtId="0" fontId="26" fillId="0" borderId="0" xfId="6" applyFont="1"/>
    <xf numFmtId="0" fontId="5" fillId="0" borderId="0" xfId="6"/>
    <xf numFmtId="0" fontId="4" fillId="0" borderId="0" xfId="7"/>
    <xf numFmtId="164" fontId="4" fillId="3" borderId="1" xfId="0" applyNumberFormat="1" applyFont="1" applyFill="1" applyBorder="1" applyAlignment="1">
      <alignment horizontal="center" vertical="center" wrapText="1"/>
    </xf>
    <xf numFmtId="0" fontId="3" fillId="0" borderId="0" xfId="7" applyFont="1"/>
    <xf numFmtId="0" fontId="4" fillId="0" borderId="0" xfId="7" applyAlignment="1">
      <alignment horizontal="left" vertical="center"/>
    </xf>
    <xf numFmtId="0" fontId="3" fillId="0" borderId="0" xfId="7" applyFont="1" applyAlignment="1">
      <alignment horizontal="left" vertical="center" wrapText="1"/>
    </xf>
    <xf numFmtId="0" fontId="4" fillId="0" borderId="0" xfId="7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" fillId="3" borderId="1" xfId="8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 indent="1"/>
    </xf>
    <xf numFmtId="0" fontId="20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top" wrapText="1"/>
    </xf>
    <xf numFmtId="0" fontId="16" fillId="3" borderId="1" xfId="3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 indent="1"/>
    </xf>
    <xf numFmtId="0" fontId="25" fillId="0" borderId="6" xfId="0" applyFont="1" applyBorder="1" applyAlignment="1">
      <alignment horizontal="left" vertical="center" wrapText="1" indent="1"/>
    </xf>
    <xf numFmtId="0" fontId="20" fillId="5" borderId="1" xfId="0" applyFont="1" applyFill="1" applyBorder="1" applyAlignment="1">
      <alignment horizontal="center" vertical="center" wrapText="1"/>
    </xf>
    <xf numFmtId="0" fontId="20" fillId="7" borderId="1" xfId="1" applyFont="1" applyFill="1" applyBorder="1" applyAlignment="1" applyProtection="1">
      <alignment horizontal="center" vertical="center" wrapText="1"/>
    </xf>
  </cellXfs>
  <cellStyles count="10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2 2" xfId="8" xr:uid="{C6B72EC6-EDD1-45B3-A6FD-903013CD4440}"/>
    <cellStyle name="Normal 3" xfId="4" xr:uid="{00000000-0005-0000-0000-000004000000}"/>
    <cellStyle name="Normal 4" xfId="5" xr:uid="{00000000-0005-0000-0000-000005000000}"/>
    <cellStyle name="Normal 4 2" xfId="9" xr:uid="{3A0A9167-A0E6-4C13-882F-AE949F07BD10}"/>
    <cellStyle name="Normal 5" xfId="6" xr:uid="{1C9677F2-8131-4241-9465-332A22EED047}"/>
    <cellStyle name="Normal 6" xfId="7" xr:uid="{CC4B6E72-F163-45FE-8A01-D37B21F1188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FF9900"/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CI26"/>
  <sheetViews>
    <sheetView tabSelected="1" zoomScale="70" zoomScaleNormal="70" zoomScaleSheetLayoutView="70" workbookViewId="0">
      <pane ySplit="3" topLeftCell="A4" activePane="bottomLeft" state="frozen"/>
      <selection pane="bottomLeft" activeCell="E5" sqref="E5"/>
    </sheetView>
  </sheetViews>
  <sheetFormatPr defaultColWidth="11.453125" defaultRowHeight="15.5" x14ac:dyDescent="0.25"/>
  <cols>
    <col min="1" max="1" width="9.08984375" style="11" customWidth="1"/>
    <col min="2" max="2" width="18.90625" style="7" hidden="1" customWidth="1"/>
    <col min="3" max="3" width="67.6328125" style="3" customWidth="1"/>
    <col min="4" max="4" width="16.90625" style="1" customWidth="1"/>
    <col min="5" max="5" width="12.36328125" style="10" customWidth="1"/>
    <col min="6" max="6" width="26.54296875" style="38" bestFit="1" customWidth="1"/>
    <col min="7" max="7" width="26.36328125" style="38" bestFit="1" customWidth="1"/>
    <col min="8" max="8" width="26.36328125" style="38" customWidth="1"/>
    <col min="9" max="9" width="25.54296875" style="3" bestFit="1" customWidth="1"/>
    <col min="10" max="10" width="27.453125" style="3" bestFit="1" customWidth="1"/>
    <col min="11" max="16384" width="11.453125" style="3"/>
  </cols>
  <sheetData>
    <row r="1" spans="1:87" ht="27" customHeight="1" x14ac:dyDescent="0.25">
      <c r="A1" s="19"/>
      <c r="B1" s="20"/>
      <c r="C1" s="21" t="s">
        <v>11</v>
      </c>
      <c r="D1" s="56"/>
      <c r="E1" s="56"/>
      <c r="F1" s="56"/>
      <c r="G1" s="56"/>
      <c r="H1" s="56"/>
      <c r="I1" s="56"/>
      <c r="J1" s="56"/>
    </row>
    <row r="2" spans="1:87" ht="27" customHeight="1" thickBot="1" x14ac:dyDescent="0.3">
      <c r="A2" s="22"/>
      <c r="B2" s="23"/>
      <c r="C2" s="24" t="s">
        <v>12</v>
      </c>
      <c r="D2" s="57" t="s">
        <v>188</v>
      </c>
      <c r="E2" s="57"/>
      <c r="F2" s="57"/>
      <c r="G2" s="57"/>
      <c r="H2" s="57"/>
      <c r="I2" s="57"/>
      <c r="J2" s="57"/>
    </row>
    <row r="3" spans="1:87" s="5" customFormat="1" ht="46.5" x14ac:dyDescent="0.25">
      <c r="A3" s="17" t="s">
        <v>4</v>
      </c>
      <c r="B3" s="18" t="s">
        <v>2</v>
      </c>
      <c r="C3" s="18" t="s">
        <v>0</v>
      </c>
      <c r="D3" s="18" t="s">
        <v>1</v>
      </c>
      <c r="E3" s="18" t="s">
        <v>23</v>
      </c>
      <c r="F3" s="32" t="s">
        <v>7</v>
      </c>
      <c r="G3" s="32" t="s">
        <v>8</v>
      </c>
      <c r="H3" s="32" t="s">
        <v>24</v>
      </c>
      <c r="I3" s="18" t="s">
        <v>9</v>
      </c>
      <c r="J3" s="18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</row>
    <row r="4" spans="1:87" s="1" customFormat="1" ht="23.25" customHeight="1" x14ac:dyDescent="0.25">
      <c r="A4" s="54" t="s">
        <v>5</v>
      </c>
      <c r="B4" s="54"/>
      <c r="C4" s="54"/>
      <c r="D4" s="54"/>
      <c r="E4" s="54"/>
      <c r="F4" s="54"/>
      <c r="G4" s="54"/>
      <c r="H4" s="54"/>
      <c r="I4" s="54"/>
      <c r="J4" s="54"/>
    </row>
    <row r="5" spans="1:87" s="1" customFormat="1" x14ac:dyDescent="0.35">
      <c r="A5" s="13" t="s">
        <v>182</v>
      </c>
      <c r="B5" s="14"/>
      <c r="C5" s="47"/>
      <c r="D5" s="53"/>
      <c r="E5" s="52"/>
      <c r="F5" s="30">
        <v>46192.791666666664</v>
      </c>
      <c r="G5" s="31">
        <f>F5 + E5 / 1440</f>
        <v>46192.791666666664</v>
      </c>
      <c r="H5" s="52"/>
      <c r="I5" s="30"/>
      <c r="J5" s="31"/>
    </row>
    <row r="6" spans="1:87" s="1" customFormat="1" ht="18.75" customHeight="1" x14ac:dyDescent="0.25">
      <c r="A6" s="58" t="s">
        <v>6</v>
      </c>
      <c r="B6" s="58"/>
      <c r="C6" s="58"/>
      <c r="D6" s="58"/>
      <c r="E6" s="58"/>
      <c r="F6" s="58"/>
      <c r="G6" s="58"/>
      <c r="H6" s="58"/>
      <c r="I6" s="58"/>
      <c r="J6" s="58"/>
    </row>
    <row r="7" spans="1:87" s="1" customFormat="1" x14ac:dyDescent="0.25">
      <c r="A7" s="15">
        <v>2.1</v>
      </c>
      <c r="B7" s="14"/>
      <c r="C7" s="50"/>
      <c r="D7" s="14"/>
      <c r="E7" s="25"/>
      <c r="F7" s="30">
        <v>46192.833333333336</v>
      </c>
      <c r="G7" s="31">
        <f>F7+TIME(0,E7,0)</f>
        <v>46192.833333333336</v>
      </c>
      <c r="H7" s="25"/>
      <c r="I7" s="30"/>
      <c r="J7" s="31"/>
    </row>
    <row r="8" spans="1:87" s="1" customFormat="1" x14ac:dyDescent="0.25">
      <c r="A8" s="15">
        <v>2.2000000000000002</v>
      </c>
      <c r="B8" s="14"/>
      <c r="C8" s="6"/>
      <c r="D8" s="14"/>
      <c r="E8" s="9"/>
      <c r="F8" s="33">
        <f>G7</f>
        <v>46192.833333333336</v>
      </c>
      <c r="G8" s="31">
        <f>F8+TIME(0,E8,0)</f>
        <v>46192.833333333336</v>
      </c>
      <c r="H8" s="9"/>
      <c r="I8" s="33"/>
      <c r="J8" s="31"/>
    </row>
    <row r="9" spans="1:87" s="1" customFormat="1" x14ac:dyDescent="0.25">
      <c r="A9" s="15">
        <v>2.2999999999999998</v>
      </c>
      <c r="B9" s="14"/>
      <c r="C9" s="6"/>
      <c r="D9" s="14"/>
      <c r="E9" s="9"/>
      <c r="F9" s="33">
        <f t="shared" ref="F9:F12" si="0">G8</f>
        <v>46192.833333333336</v>
      </c>
      <c r="G9" s="31">
        <f t="shared" ref="G9:G11" si="1">F9+TIME(0,E9,0)</f>
        <v>46192.833333333336</v>
      </c>
      <c r="H9" s="9"/>
      <c r="I9" s="33"/>
      <c r="J9" s="31"/>
    </row>
    <row r="10" spans="1:87" s="1" customFormat="1" x14ac:dyDescent="0.25">
      <c r="A10" s="15">
        <v>2.4</v>
      </c>
      <c r="B10" s="14"/>
      <c r="C10" s="50"/>
      <c r="D10" s="14"/>
      <c r="E10" s="9"/>
      <c r="F10" s="33">
        <f t="shared" si="0"/>
        <v>46192.833333333336</v>
      </c>
      <c r="G10" s="31">
        <f t="shared" si="1"/>
        <v>46192.833333333336</v>
      </c>
      <c r="H10" s="9"/>
      <c r="I10" s="33"/>
      <c r="J10" s="31"/>
    </row>
    <row r="11" spans="1:87" s="1" customFormat="1" x14ac:dyDescent="0.25">
      <c r="A11" s="15">
        <v>2.5</v>
      </c>
      <c r="B11" s="14"/>
      <c r="C11" s="6"/>
      <c r="D11" s="14"/>
      <c r="E11" s="9"/>
      <c r="F11" s="33">
        <f t="shared" si="0"/>
        <v>46192.833333333336</v>
      </c>
      <c r="G11" s="31">
        <f t="shared" si="1"/>
        <v>46192.833333333336</v>
      </c>
      <c r="H11" s="9"/>
      <c r="I11" s="33"/>
      <c r="J11" s="31"/>
    </row>
    <row r="12" spans="1:87" s="1" customFormat="1" x14ac:dyDescent="0.25">
      <c r="A12" s="15">
        <v>2.5</v>
      </c>
      <c r="B12" s="14"/>
      <c r="C12" s="51"/>
      <c r="D12" s="14"/>
      <c r="E12" s="9"/>
      <c r="F12" s="33">
        <f t="shared" si="0"/>
        <v>46192.833333333336</v>
      </c>
      <c r="G12" s="31">
        <f>F12+TIME(0,E12,0)</f>
        <v>46192.833333333336</v>
      </c>
      <c r="H12" s="9"/>
      <c r="I12" s="33"/>
      <c r="J12" s="31"/>
    </row>
    <row r="13" spans="1:87" s="1" customFormat="1" ht="23.25" customHeight="1" x14ac:dyDescent="0.25">
      <c r="A13" s="54" t="s">
        <v>18</v>
      </c>
      <c r="B13" s="54"/>
      <c r="C13" s="54"/>
      <c r="D13" s="54"/>
      <c r="E13" s="54"/>
      <c r="F13" s="54"/>
      <c r="G13" s="54"/>
      <c r="H13" s="54"/>
      <c r="I13" s="54"/>
      <c r="J13" s="54"/>
    </row>
    <row r="14" spans="1:87" s="1" customFormat="1" x14ac:dyDescent="0.25">
      <c r="A14" s="13" t="s">
        <v>183</v>
      </c>
      <c r="B14" s="14"/>
      <c r="C14" s="47"/>
      <c r="D14" s="15"/>
      <c r="E14" s="9"/>
      <c r="F14" s="34">
        <f>G12</f>
        <v>46192.833333333336</v>
      </c>
      <c r="G14" s="31">
        <f>F14+TIME(0,E14,0)</f>
        <v>46192.833333333336</v>
      </c>
      <c r="H14" s="9"/>
      <c r="I14" s="34"/>
      <c r="J14" s="31"/>
    </row>
    <row r="15" spans="1:87" s="1" customFormat="1" x14ac:dyDescent="0.25">
      <c r="A15" s="13" t="s">
        <v>184</v>
      </c>
      <c r="B15" s="14"/>
      <c r="C15" s="49"/>
      <c r="D15" s="14"/>
      <c r="E15" s="48"/>
      <c r="F15" s="34">
        <f>G14</f>
        <v>46192.833333333336</v>
      </c>
      <c r="G15" s="31">
        <f t="shared" ref="G15:G17" si="2">F15+TIME(0,E15,0)</f>
        <v>46192.833333333336</v>
      </c>
      <c r="H15" s="48"/>
      <c r="I15" s="34"/>
      <c r="J15" s="31"/>
    </row>
    <row r="16" spans="1:87" s="1" customFormat="1" x14ac:dyDescent="0.25">
      <c r="A16" s="13" t="s">
        <v>185</v>
      </c>
      <c r="B16" s="14"/>
      <c r="C16" s="49"/>
      <c r="D16" s="14"/>
      <c r="E16" s="48"/>
      <c r="F16" s="34">
        <f>G15</f>
        <v>46192.833333333336</v>
      </c>
      <c r="G16" s="31">
        <f>F16+TIME(0,E16,0)</f>
        <v>46192.833333333336</v>
      </c>
      <c r="H16" s="48"/>
      <c r="I16" s="34"/>
      <c r="J16" s="31"/>
    </row>
    <row r="17" spans="1:10" s="1" customFormat="1" x14ac:dyDescent="0.25">
      <c r="A17" s="13" t="s">
        <v>186</v>
      </c>
      <c r="B17" s="14"/>
      <c r="C17" s="49"/>
      <c r="D17" s="14"/>
      <c r="E17" s="48"/>
      <c r="F17" s="34">
        <f>G16</f>
        <v>46192.833333333336</v>
      </c>
      <c r="G17" s="31">
        <f t="shared" si="2"/>
        <v>46192.833333333336</v>
      </c>
      <c r="H17" s="48"/>
      <c r="I17" s="34"/>
      <c r="J17" s="31"/>
    </row>
    <row r="18" spans="1:10" s="2" customFormat="1" ht="36" customHeight="1" x14ac:dyDescent="0.25">
      <c r="A18" s="59" t="s">
        <v>3</v>
      </c>
      <c r="B18" s="59"/>
      <c r="C18" s="59"/>
      <c r="D18" s="59"/>
      <c r="E18" s="59"/>
      <c r="F18" s="59"/>
      <c r="G18" s="59"/>
      <c r="H18" s="59"/>
      <c r="I18" s="59"/>
      <c r="J18" s="59"/>
    </row>
    <row r="19" spans="1:10" s="2" customFormat="1" ht="21" customHeight="1" x14ac:dyDescent="0.25">
      <c r="A19" s="12">
        <v>4</v>
      </c>
      <c r="B19" s="16"/>
      <c r="C19" s="55" t="s">
        <v>187</v>
      </c>
      <c r="D19" s="55"/>
      <c r="E19" s="55"/>
      <c r="F19" s="55"/>
      <c r="G19" s="55"/>
      <c r="H19" s="55"/>
      <c r="I19" s="55"/>
      <c r="J19" s="55"/>
    </row>
    <row r="20" spans="1:10" s="1" customFormat="1" x14ac:dyDescent="0.25">
      <c r="A20" s="15">
        <v>4.0999999999999996</v>
      </c>
      <c r="B20" s="14"/>
      <c r="C20" s="6"/>
      <c r="D20" s="14"/>
      <c r="E20" s="9"/>
      <c r="F20" s="36">
        <f>G17</f>
        <v>46192.833333333336</v>
      </c>
      <c r="G20" s="31">
        <f>F20+TIME(0,E20,0)</f>
        <v>46192.833333333336</v>
      </c>
      <c r="H20" s="6"/>
      <c r="I20" s="6"/>
      <c r="J20" s="6"/>
    </row>
    <row r="21" spans="1:10" s="1" customFormat="1" x14ac:dyDescent="0.25">
      <c r="A21" s="15">
        <v>4.2</v>
      </c>
      <c r="B21" s="14"/>
      <c r="C21" s="47"/>
      <c r="D21" s="14"/>
      <c r="E21" s="9"/>
      <c r="F21" s="35">
        <f>G20</f>
        <v>46192.833333333336</v>
      </c>
      <c r="G21" s="31">
        <f t="shared" ref="G21:G24" si="3">F21+TIME(0,E21,0)</f>
        <v>46192.833333333336</v>
      </c>
      <c r="H21" s="6"/>
      <c r="I21" s="6"/>
      <c r="J21" s="6"/>
    </row>
    <row r="22" spans="1:10" s="1" customFormat="1" x14ac:dyDescent="0.25">
      <c r="A22" s="15">
        <v>4.3</v>
      </c>
      <c r="B22" s="14"/>
      <c r="C22" s="49"/>
      <c r="D22" s="14"/>
      <c r="E22" s="9"/>
      <c r="F22" s="35">
        <f t="shared" ref="F22:F24" si="4">G21</f>
        <v>46192.833333333336</v>
      </c>
      <c r="G22" s="31">
        <f t="shared" si="3"/>
        <v>46192.833333333336</v>
      </c>
      <c r="H22" s="6"/>
      <c r="I22" s="6"/>
      <c r="J22" s="6"/>
    </row>
    <row r="23" spans="1:10" s="1" customFormat="1" x14ac:dyDescent="0.25">
      <c r="A23" s="15">
        <v>4.4000000000000004</v>
      </c>
      <c r="B23" s="14"/>
      <c r="C23" s="49"/>
      <c r="D23" s="14"/>
      <c r="E23" s="9"/>
      <c r="F23" s="35">
        <f t="shared" si="4"/>
        <v>46192.833333333336</v>
      </c>
      <c r="G23" s="31">
        <f t="shared" si="3"/>
        <v>46192.833333333336</v>
      </c>
      <c r="H23" s="6"/>
      <c r="I23" s="6"/>
      <c r="J23" s="6"/>
    </row>
    <row r="24" spans="1:10" s="1" customFormat="1" x14ac:dyDescent="0.25">
      <c r="A24" s="15">
        <v>4.5</v>
      </c>
      <c r="B24" s="14"/>
      <c r="C24" s="49"/>
      <c r="D24" s="14"/>
      <c r="E24" s="8"/>
      <c r="F24" s="35">
        <f t="shared" si="4"/>
        <v>46192.833333333336</v>
      </c>
      <c r="G24" s="31">
        <f t="shared" si="3"/>
        <v>46192.833333333336</v>
      </c>
      <c r="H24" s="6"/>
      <c r="I24" s="6"/>
      <c r="J24" s="6"/>
    </row>
    <row r="25" spans="1:10" x14ac:dyDescent="0.25">
      <c r="A25" s="54" t="s">
        <v>19</v>
      </c>
      <c r="B25" s="54"/>
      <c r="C25" s="54"/>
      <c r="D25" s="54"/>
      <c r="E25" s="54"/>
      <c r="F25" s="54"/>
      <c r="G25" s="54"/>
      <c r="H25" s="54"/>
      <c r="I25" s="54"/>
      <c r="J25" s="54"/>
    </row>
    <row r="26" spans="1:10" x14ac:dyDescent="0.25">
      <c r="A26" s="26" t="s">
        <v>22</v>
      </c>
      <c r="B26" s="27"/>
      <c r="C26" s="28" t="s">
        <v>20</v>
      </c>
      <c r="D26" s="15"/>
      <c r="E26" s="29"/>
      <c r="F26" s="37">
        <v>46196.458333333336</v>
      </c>
      <c r="G26" s="37">
        <f>F26+TIME(0,E26,0)</f>
        <v>46196.458333333336</v>
      </c>
      <c r="H26" s="9"/>
      <c r="I26" s="42"/>
      <c r="J26" s="42"/>
    </row>
  </sheetData>
  <mergeCells count="8">
    <mergeCell ref="A25:J25"/>
    <mergeCell ref="C19:J19"/>
    <mergeCell ref="D1:J1"/>
    <mergeCell ref="D2:J2"/>
    <mergeCell ref="A4:J4"/>
    <mergeCell ref="A6:J6"/>
    <mergeCell ref="A13:J13"/>
    <mergeCell ref="A18:J18"/>
  </mergeCells>
  <phoneticPr fontId="13" type="noConversion"/>
  <hyperlinks>
    <hyperlink ref="A18" location="'Contingency Plan - Migration'!A1" display="'Contingency Plan - Migration'!A1" xr:uid="{00000000-0004-0000-0000-000000000000}"/>
  </hyperlinks>
  <pageMargins left="0.23622047244094491" right="0.23622047244094491" top="0.35433070866141736" bottom="0.39370078740157483" header="0.19685039370078741" footer="0.23622047244094491"/>
  <pageSetup paperSize="9" scale="48" fitToHeight="4"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2"/>
  <sheetViews>
    <sheetView zoomScaleNormal="100" workbookViewId="0">
      <selection activeCell="H30" sqref="H30"/>
    </sheetView>
  </sheetViews>
  <sheetFormatPr defaultRowHeight="12.5" x14ac:dyDescent="0.25"/>
  <sheetData>
    <row r="1" spans="2:4" ht="14.5" x14ac:dyDescent="0.35">
      <c r="B1" s="39" t="s">
        <v>25</v>
      </c>
      <c r="C1" s="39" t="s">
        <v>26</v>
      </c>
      <c r="D1" s="39" t="s">
        <v>27</v>
      </c>
    </row>
    <row r="2" spans="2:4" ht="14.5" x14ac:dyDescent="0.35">
      <c r="B2" s="40" t="s">
        <v>28</v>
      </c>
      <c r="C2" s="40" t="s">
        <v>29</v>
      </c>
      <c r="D2" s="40" t="s">
        <v>30</v>
      </c>
    </row>
    <row r="3" spans="2:4" ht="14.5" x14ac:dyDescent="0.35">
      <c r="B3" s="40"/>
      <c r="C3" s="40" t="s">
        <v>16</v>
      </c>
      <c r="D3" s="40" t="s">
        <v>31</v>
      </c>
    </row>
    <row r="4" spans="2:4" ht="14.5" x14ac:dyDescent="0.35">
      <c r="B4" s="40"/>
      <c r="C4" s="40" t="s">
        <v>32</v>
      </c>
      <c r="D4" s="40" t="s">
        <v>33</v>
      </c>
    </row>
    <row r="5" spans="2:4" ht="14.5" x14ac:dyDescent="0.35">
      <c r="B5" s="40"/>
      <c r="C5" s="40" t="s">
        <v>17</v>
      </c>
      <c r="D5" s="40" t="s">
        <v>34</v>
      </c>
    </row>
    <row r="6" spans="2:4" ht="14.5" x14ac:dyDescent="0.35">
      <c r="B6" s="40"/>
      <c r="C6" s="40" t="s">
        <v>13</v>
      </c>
      <c r="D6" s="40" t="s">
        <v>35</v>
      </c>
    </row>
    <row r="7" spans="2:4" ht="14.5" x14ac:dyDescent="0.35">
      <c r="B7" s="40"/>
      <c r="C7" s="40" t="s">
        <v>15</v>
      </c>
      <c r="D7" s="40" t="s">
        <v>36</v>
      </c>
    </row>
    <row r="8" spans="2:4" ht="14.5" x14ac:dyDescent="0.35">
      <c r="B8" s="40"/>
      <c r="C8" s="40" t="s">
        <v>14</v>
      </c>
      <c r="D8" s="40" t="s">
        <v>37</v>
      </c>
    </row>
    <row r="9" spans="2:4" ht="14.5" x14ac:dyDescent="0.35">
      <c r="B9" s="40"/>
      <c r="C9" s="40" t="s">
        <v>38</v>
      </c>
      <c r="D9" s="40" t="s">
        <v>39</v>
      </c>
    </row>
    <row r="10" spans="2:4" ht="14.5" x14ac:dyDescent="0.35">
      <c r="B10" s="40"/>
      <c r="C10" s="40" t="s">
        <v>40</v>
      </c>
      <c r="D10" s="40" t="s">
        <v>41</v>
      </c>
    </row>
    <row r="11" spans="2:4" ht="14.5" x14ac:dyDescent="0.35">
      <c r="B11" s="40"/>
      <c r="C11" s="40" t="s">
        <v>42</v>
      </c>
      <c r="D11" s="40" t="s">
        <v>43</v>
      </c>
    </row>
    <row r="12" spans="2:4" ht="14.5" x14ac:dyDescent="0.35">
      <c r="B12" s="40"/>
      <c r="C12" s="40" t="s">
        <v>44</v>
      </c>
      <c r="D12" s="40" t="s">
        <v>45</v>
      </c>
    </row>
    <row r="13" spans="2:4" ht="14.5" x14ac:dyDescent="0.35">
      <c r="B13" s="40"/>
      <c r="C13" s="40" t="s">
        <v>21</v>
      </c>
      <c r="D13" s="40" t="s">
        <v>46</v>
      </c>
    </row>
    <row r="15" spans="2:4" ht="14.5" x14ac:dyDescent="0.35">
      <c r="B15" s="40" t="s">
        <v>47</v>
      </c>
      <c r="C15" s="40" t="s">
        <v>48</v>
      </c>
      <c r="D15" s="40" t="s">
        <v>49</v>
      </c>
    </row>
    <row r="17" spans="2:4" ht="14.5" x14ac:dyDescent="0.35">
      <c r="B17" s="40" t="s">
        <v>50</v>
      </c>
      <c r="C17" s="40" t="s">
        <v>51</v>
      </c>
      <c r="D17" s="40" t="s">
        <v>52</v>
      </c>
    </row>
    <row r="18" spans="2:4" ht="14.5" x14ac:dyDescent="0.35">
      <c r="B18" s="40"/>
      <c r="C18" s="40" t="s">
        <v>53</v>
      </c>
      <c r="D18" s="40" t="s">
        <v>54</v>
      </c>
    </row>
    <row r="19" spans="2:4" ht="14.5" x14ac:dyDescent="0.35">
      <c r="B19" s="40"/>
      <c r="C19" s="40" t="s">
        <v>55</v>
      </c>
      <c r="D19" s="40" t="s">
        <v>56</v>
      </c>
    </row>
    <row r="20" spans="2:4" ht="14.5" x14ac:dyDescent="0.35">
      <c r="B20" s="40"/>
      <c r="C20" s="40" t="s">
        <v>57</v>
      </c>
      <c r="D20" s="40" t="s">
        <v>58</v>
      </c>
    </row>
    <row r="21" spans="2:4" ht="14.5" x14ac:dyDescent="0.35">
      <c r="B21" s="40"/>
      <c r="C21" s="40" t="s">
        <v>59</v>
      </c>
      <c r="D21" s="40" t="s">
        <v>60</v>
      </c>
    </row>
    <row r="23" spans="2:4" ht="14.5" x14ac:dyDescent="0.35">
      <c r="B23" s="40" t="s">
        <v>61</v>
      </c>
      <c r="C23" s="40" t="s">
        <v>62</v>
      </c>
      <c r="D23" s="40" t="s">
        <v>63</v>
      </c>
    </row>
    <row r="24" spans="2:4" ht="14.5" x14ac:dyDescent="0.35">
      <c r="B24" s="40"/>
      <c r="C24" s="40" t="s">
        <v>64</v>
      </c>
      <c r="D24" s="40" t="s">
        <v>65</v>
      </c>
    </row>
    <row r="25" spans="2:4" ht="14.5" x14ac:dyDescent="0.35">
      <c r="B25" s="40"/>
      <c r="C25" s="40" t="s">
        <v>66</v>
      </c>
      <c r="D25" s="40" t="s">
        <v>67</v>
      </c>
    </row>
    <row r="26" spans="2:4" ht="14.5" x14ac:dyDescent="0.35">
      <c r="B26" s="40"/>
      <c r="C26" s="40" t="s">
        <v>68</v>
      </c>
      <c r="D26" s="40" t="s">
        <v>69</v>
      </c>
    </row>
    <row r="27" spans="2:4" ht="14.5" x14ac:dyDescent="0.35">
      <c r="B27" s="40"/>
      <c r="C27" s="40" t="s">
        <v>70</v>
      </c>
      <c r="D27" s="40" t="s">
        <v>71</v>
      </c>
    </row>
    <row r="29" spans="2:4" ht="14.5" x14ac:dyDescent="0.35">
      <c r="B29" s="40" t="s">
        <v>72</v>
      </c>
      <c r="C29" s="40" t="s">
        <v>73</v>
      </c>
      <c r="D29" s="40" t="s">
        <v>74</v>
      </c>
    </row>
    <row r="30" spans="2:4" ht="14.5" x14ac:dyDescent="0.35">
      <c r="B30" s="40"/>
      <c r="C30" s="40" t="s">
        <v>75</v>
      </c>
      <c r="D30" s="40" t="s">
        <v>76</v>
      </c>
    </row>
    <row r="31" spans="2:4" ht="14.5" x14ac:dyDescent="0.35">
      <c r="B31" s="40"/>
      <c r="C31" s="40" t="s">
        <v>77</v>
      </c>
      <c r="D31" s="40" t="s">
        <v>78</v>
      </c>
    </row>
    <row r="32" spans="2:4" ht="14.5" x14ac:dyDescent="0.35">
      <c r="B32" s="40"/>
      <c r="C32" s="40" t="s">
        <v>79</v>
      </c>
      <c r="D32" s="40" t="s">
        <v>80</v>
      </c>
    </row>
    <row r="33" spans="2:4" ht="14.5" x14ac:dyDescent="0.35">
      <c r="B33" s="40"/>
      <c r="C33" s="40" t="s">
        <v>81</v>
      </c>
      <c r="D33" s="40" t="s">
        <v>82</v>
      </c>
    </row>
    <row r="34" spans="2:4" ht="14.5" x14ac:dyDescent="0.35">
      <c r="B34" s="40"/>
      <c r="C34" s="40" t="s">
        <v>83</v>
      </c>
      <c r="D34" s="40" t="s">
        <v>84</v>
      </c>
    </row>
    <row r="35" spans="2:4" ht="14.5" x14ac:dyDescent="0.35">
      <c r="B35" s="40"/>
      <c r="C35" s="40" t="s">
        <v>85</v>
      </c>
      <c r="D35" s="40" t="s">
        <v>86</v>
      </c>
    </row>
    <row r="37" spans="2:4" ht="14.5" x14ac:dyDescent="0.35">
      <c r="B37" s="40" t="s">
        <v>87</v>
      </c>
      <c r="C37" s="40" t="s">
        <v>88</v>
      </c>
      <c r="D37" s="40" t="s">
        <v>89</v>
      </c>
    </row>
    <row r="38" spans="2:4" ht="14.5" x14ac:dyDescent="0.35">
      <c r="B38" s="40"/>
      <c r="C38" s="40" t="s">
        <v>90</v>
      </c>
      <c r="D38" s="40" t="s">
        <v>91</v>
      </c>
    </row>
    <row r="39" spans="2:4" ht="14.5" x14ac:dyDescent="0.35">
      <c r="B39" s="40"/>
      <c r="C39" s="40" t="s">
        <v>92</v>
      </c>
      <c r="D39" s="40" t="s">
        <v>93</v>
      </c>
    </row>
    <row r="40" spans="2:4" ht="14.5" x14ac:dyDescent="0.35">
      <c r="B40" s="40"/>
      <c r="C40" s="40" t="s">
        <v>94</v>
      </c>
      <c r="D40" s="40" t="s">
        <v>95</v>
      </c>
    </row>
    <row r="41" spans="2:4" ht="14.5" x14ac:dyDescent="0.35">
      <c r="B41" s="40"/>
      <c r="C41" s="40" t="s">
        <v>96</v>
      </c>
      <c r="D41" s="40" t="s">
        <v>97</v>
      </c>
    </row>
    <row r="42" spans="2:4" ht="14.5" x14ac:dyDescent="0.35">
      <c r="B42" s="40"/>
      <c r="C42" s="40" t="s">
        <v>98</v>
      </c>
      <c r="D42" s="40" t="s">
        <v>99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9D74-9D52-4E48-B9A4-8EB49190AD6B}">
  <dimension ref="A1:J48"/>
  <sheetViews>
    <sheetView workbookViewId="0">
      <selection activeCell="G5" sqref="G5"/>
    </sheetView>
  </sheetViews>
  <sheetFormatPr defaultColWidth="8.90625" defaultRowHeight="21.65" customHeight="1" x14ac:dyDescent="0.35"/>
  <cols>
    <col min="1" max="1" width="13.6328125" style="44" bestFit="1" customWidth="1"/>
    <col min="2" max="3" width="24.54296875" style="44" bestFit="1" customWidth="1"/>
    <col min="4" max="16384" width="8.90625" style="41"/>
  </cols>
  <sheetData>
    <row r="1" spans="1:10" ht="21.65" customHeight="1" x14ac:dyDescent="0.35">
      <c r="A1" s="44" t="s">
        <v>100</v>
      </c>
      <c r="B1" s="44" t="s">
        <v>101</v>
      </c>
      <c r="C1" s="44" t="s">
        <v>102</v>
      </c>
    </row>
    <row r="2" spans="1:10" ht="21.65" customHeight="1" x14ac:dyDescent="0.35">
      <c r="A2" s="44" t="s">
        <v>103</v>
      </c>
      <c r="B2" s="45" t="s">
        <v>150</v>
      </c>
      <c r="C2" s="45" t="s">
        <v>152</v>
      </c>
    </row>
    <row r="3" spans="1:10" ht="21.65" customHeight="1" x14ac:dyDescent="0.35">
      <c r="A3" s="44" t="s">
        <v>104</v>
      </c>
      <c r="B3" s="45" t="s">
        <v>150</v>
      </c>
      <c r="C3" s="46" t="s">
        <v>153</v>
      </c>
    </row>
    <row r="4" spans="1:10" ht="21.65" customHeight="1" x14ac:dyDescent="0.35">
      <c r="A4" s="44" t="s">
        <v>105</v>
      </c>
      <c r="B4" s="45" t="s">
        <v>150</v>
      </c>
      <c r="C4" s="46" t="s">
        <v>153</v>
      </c>
    </row>
    <row r="5" spans="1:10" ht="21.65" customHeight="1" x14ac:dyDescent="0.35">
      <c r="A5" s="44" t="s">
        <v>106</v>
      </c>
      <c r="B5" s="45" t="s">
        <v>150</v>
      </c>
      <c r="C5" s="45" t="s">
        <v>154</v>
      </c>
    </row>
    <row r="6" spans="1:10" ht="21.65" customHeight="1" x14ac:dyDescent="0.35">
      <c r="A6" s="44" t="s">
        <v>107</v>
      </c>
      <c r="B6" s="46" t="s">
        <v>155</v>
      </c>
      <c r="C6" s="46" t="s">
        <v>153</v>
      </c>
    </row>
    <row r="7" spans="1:10" ht="21.65" customHeight="1" x14ac:dyDescent="0.35">
      <c r="A7" s="44" t="s">
        <v>108</v>
      </c>
      <c r="B7" s="45" t="s">
        <v>150</v>
      </c>
      <c r="C7" s="45" t="s">
        <v>154</v>
      </c>
    </row>
    <row r="8" spans="1:10" ht="21.65" customHeight="1" x14ac:dyDescent="0.35">
      <c r="A8" s="44" t="s">
        <v>109</v>
      </c>
      <c r="B8" s="45" t="s">
        <v>150</v>
      </c>
      <c r="C8" s="45" t="s">
        <v>156</v>
      </c>
    </row>
    <row r="9" spans="1:10" ht="21.65" customHeight="1" x14ac:dyDescent="0.35">
      <c r="A9" s="44" t="s">
        <v>110</v>
      </c>
      <c r="B9" s="45" t="s">
        <v>150</v>
      </c>
      <c r="C9" s="46" t="s">
        <v>153</v>
      </c>
    </row>
    <row r="10" spans="1:10" ht="21.65" customHeight="1" x14ac:dyDescent="0.35">
      <c r="A10" s="44" t="s">
        <v>111</v>
      </c>
      <c r="B10" s="45" t="s">
        <v>150</v>
      </c>
      <c r="C10" s="45" t="s">
        <v>157</v>
      </c>
    </row>
    <row r="11" spans="1:10" ht="21.65" customHeight="1" x14ac:dyDescent="0.35">
      <c r="A11" s="44" t="s">
        <v>112</v>
      </c>
      <c r="B11" s="45" t="s">
        <v>158</v>
      </c>
      <c r="C11" s="45" t="s">
        <v>159</v>
      </c>
    </row>
    <row r="12" spans="1:10" ht="21.65" customHeight="1" x14ac:dyDescent="0.35">
      <c r="A12" s="44" t="s">
        <v>113</v>
      </c>
      <c r="B12" s="45" t="s">
        <v>158</v>
      </c>
      <c r="C12" s="45" t="s">
        <v>159</v>
      </c>
    </row>
    <row r="13" spans="1:10" ht="21.65" customHeight="1" x14ac:dyDescent="0.35">
      <c r="A13" s="44" t="s">
        <v>114</v>
      </c>
      <c r="B13" s="45" t="s">
        <v>158</v>
      </c>
      <c r="C13" s="46" t="s">
        <v>160</v>
      </c>
      <c r="J13" s="43" t="s">
        <v>151</v>
      </c>
    </row>
    <row r="14" spans="1:10" ht="21.65" customHeight="1" x14ac:dyDescent="0.35">
      <c r="A14" s="44" t="s">
        <v>115</v>
      </c>
      <c r="B14" s="45" t="s">
        <v>158</v>
      </c>
      <c r="C14" s="45" t="s">
        <v>159</v>
      </c>
    </row>
    <row r="15" spans="1:10" ht="21.65" customHeight="1" x14ac:dyDescent="0.35">
      <c r="A15" s="44" t="s">
        <v>116</v>
      </c>
      <c r="B15" s="45" t="s">
        <v>158</v>
      </c>
      <c r="C15" s="46" t="s">
        <v>160</v>
      </c>
    </row>
    <row r="16" spans="1:10" ht="21.65" customHeight="1" x14ac:dyDescent="0.35">
      <c r="A16" s="44" t="s">
        <v>117</v>
      </c>
      <c r="B16" s="45" t="s">
        <v>158</v>
      </c>
      <c r="C16" s="45" t="s">
        <v>161</v>
      </c>
    </row>
    <row r="17" spans="1:3" ht="21.65" customHeight="1" x14ac:dyDescent="0.35">
      <c r="A17" s="44" t="s">
        <v>118</v>
      </c>
      <c r="B17" s="45" t="s">
        <v>158</v>
      </c>
      <c r="C17" s="45" t="s">
        <v>161</v>
      </c>
    </row>
    <row r="18" spans="1:3" ht="21.65" customHeight="1" x14ac:dyDescent="0.35">
      <c r="A18" s="44" t="s">
        <v>119</v>
      </c>
      <c r="B18" s="45" t="s">
        <v>158</v>
      </c>
      <c r="C18" s="45" t="s">
        <v>161</v>
      </c>
    </row>
    <row r="19" spans="1:3" ht="21.65" customHeight="1" x14ac:dyDescent="0.35">
      <c r="A19" s="44" t="s">
        <v>120</v>
      </c>
      <c r="B19" s="45" t="s">
        <v>158</v>
      </c>
      <c r="C19" s="45" t="s">
        <v>161</v>
      </c>
    </row>
    <row r="20" spans="1:3" ht="21.65" customHeight="1" x14ac:dyDescent="0.35">
      <c r="A20" s="44" t="s">
        <v>121</v>
      </c>
      <c r="B20" s="45" t="s">
        <v>162</v>
      </c>
      <c r="C20" s="45" t="s">
        <v>161</v>
      </c>
    </row>
    <row r="21" spans="1:3" ht="21.65" customHeight="1" x14ac:dyDescent="0.35">
      <c r="A21" s="44" t="s">
        <v>122</v>
      </c>
      <c r="B21" s="45" t="s">
        <v>162</v>
      </c>
      <c r="C21" s="45" t="s">
        <v>161</v>
      </c>
    </row>
    <row r="22" spans="1:3" ht="21.65" customHeight="1" x14ac:dyDescent="0.35">
      <c r="A22" s="44" t="s">
        <v>123</v>
      </c>
      <c r="B22" s="45" t="s">
        <v>162</v>
      </c>
      <c r="C22" s="45" t="s">
        <v>161</v>
      </c>
    </row>
    <row r="23" spans="1:3" ht="21.65" customHeight="1" x14ac:dyDescent="0.35">
      <c r="A23" s="44" t="s">
        <v>124</v>
      </c>
      <c r="B23" s="45" t="s">
        <v>162</v>
      </c>
      <c r="C23" s="45" t="s">
        <v>161</v>
      </c>
    </row>
    <row r="24" spans="1:3" ht="21.65" customHeight="1" x14ac:dyDescent="0.35">
      <c r="A24" s="44" t="s">
        <v>125</v>
      </c>
      <c r="B24" s="45" t="s">
        <v>162</v>
      </c>
      <c r="C24" s="45" t="s">
        <v>161</v>
      </c>
    </row>
    <row r="25" spans="1:3" ht="21.65" customHeight="1" x14ac:dyDescent="0.35">
      <c r="A25" s="44" t="s">
        <v>126</v>
      </c>
      <c r="B25" s="45" t="s">
        <v>163</v>
      </c>
      <c r="C25" s="45" t="s">
        <v>161</v>
      </c>
    </row>
    <row r="26" spans="1:3" ht="21.65" customHeight="1" x14ac:dyDescent="0.35">
      <c r="A26" s="44" t="s">
        <v>127</v>
      </c>
      <c r="B26" s="45" t="s">
        <v>163</v>
      </c>
      <c r="C26" s="45" t="s">
        <v>161</v>
      </c>
    </row>
    <row r="27" spans="1:3" ht="21.65" customHeight="1" x14ac:dyDescent="0.35">
      <c r="A27" s="44" t="s">
        <v>128</v>
      </c>
      <c r="B27" s="45" t="s">
        <v>163</v>
      </c>
      <c r="C27" s="45" t="s">
        <v>161</v>
      </c>
    </row>
    <row r="28" spans="1:3" ht="21.65" customHeight="1" x14ac:dyDescent="0.35">
      <c r="A28" s="44" t="s">
        <v>129</v>
      </c>
      <c r="B28" s="45" t="s">
        <v>164</v>
      </c>
      <c r="C28" s="45" t="s">
        <v>165</v>
      </c>
    </row>
    <row r="29" spans="1:3" ht="21.65" customHeight="1" x14ac:dyDescent="0.35">
      <c r="A29" s="44" t="s">
        <v>130</v>
      </c>
      <c r="B29" s="45" t="s">
        <v>164</v>
      </c>
      <c r="C29" s="45" t="s">
        <v>166</v>
      </c>
    </row>
    <row r="30" spans="1:3" ht="21.65" customHeight="1" x14ac:dyDescent="0.35">
      <c r="A30" s="44" t="s">
        <v>131</v>
      </c>
      <c r="B30" s="45" t="s">
        <v>164</v>
      </c>
      <c r="C30" s="45" t="s">
        <v>167</v>
      </c>
    </row>
    <row r="31" spans="1:3" ht="21.65" customHeight="1" x14ac:dyDescent="0.35">
      <c r="A31" s="44" t="s">
        <v>132</v>
      </c>
      <c r="B31" s="45" t="s">
        <v>168</v>
      </c>
      <c r="C31" s="45" t="s">
        <v>169</v>
      </c>
    </row>
    <row r="32" spans="1:3" ht="21.65" customHeight="1" x14ac:dyDescent="0.35">
      <c r="A32" s="44" t="s">
        <v>133</v>
      </c>
      <c r="B32" s="45" t="s">
        <v>168</v>
      </c>
      <c r="C32" s="45" t="s">
        <v>170</v>
      </c>
    </row>
    <row r="33" spans="1:3" ht="21.65" customHeight="1" x14ac:dyDescent="0.35">
      <c r="A33" s="44" t="s">
        <v>134</v>
      </c>
      <c r="B33" s="45" t="s">
        <v>171</v>
      </c>
      <c r="C33" s="45" t="s">
        <v>172</v>
      </c>
    </row>
    <row r="34" spans="1:3" ht="21.65" customHeight="1" x14ac:dyDescent="0.35">
      <c r="A34" s="44" t="s">
        <v>135</v>
      </c>
      <c r="B34" s="45" t="s">
        <v>171</v>
      </c>
      <c r="C34" s="45" t="s">
        <v>173</v>
      </c>
    </row>
    <row r="35" spans="1:3" ht="21.65" customHeight="1" x14ac:dyDescent="0.35">
      <c r="A35" s="44" t="s">
        <v>136</v>
      </c>
      <c r="B35" s="45" t="s">
        <v>174</v>
      </c>
      <c r="C35" s="45" t="s">
        <v>173</v>
      </c>
    </row>
    <row r="36" spans="1:3" ht="21.65" customHeight="1" x14ac:dyDescent="0.35">
      <c r="A36" s="44" t="s">
        <v>137</v>
      </c>
      <c r="B36" s="45" t="s">
        <v>174</v>
      </c>
      <c r="C36" s="45" t="s">
        <v>175</v>
      </c>
    </row>
    <row r="37" spans="1:3" ht="21.65" customHeight="1" x14ac:dyDescent="0.35">
      <c r="A37" s="44" t="s">
        <v>138</v>
      </c>
      <c r="B37" s="45" t="s">
        <v>174</v>
      </c>
      <c r="C37" s="45" t="s">
        <v>173</v>
      </c>
    </row>
    <row r="38" spans="1:3" ht="21.65" customHeight="1" x14ac:dyDescent="0.35">
      <c r="A38" s="44" t="s">
        <v>139</v>
      </c>
      <c r="B38" s="45" t="s">
        <v>174</v>
      </c>
      <c r="C38" s="45" t="s">
        <v>173</v>
      </c>
    </row>
    <row r="39" spans="1:3" ht="21.65" customHeight="1" x14ac:dyDescent="0.35">
      <c r="A39" s="44" t="s">
        <v>140</v>
      </c>
      <c r="B39" s="45" t="s">
        <v>174</v>
      </c>
      <c r="C39" s="45" t="s">
        <v>176</v>
      </c>
    </row>
    <row r="40" spans="1:3" ht="21.65" customHeight="1" x14ac:dyDescent="0.35">
      <c r="A40" s="44" t="s">
        <v>141</v>
      </c>
      <c r="B40" s="45" t="s">
        <v>174</v>
      </c>
      <c r="C40" s="45" t="s">
        <v>173</v>
      </c>
    </row>
    <row r="41" spans="1:3" ht="21.65" customHeight="1" x14ac:dyDescent="0.35">
      <c r="A41" s="44" t="s">
        <v>142</v>
      </c>
      <c r="B41" s="45" t="s">
        <v>174</v>
      </c>
      <c r="C41" s="45" t="s">
        <v>173</v>
      </c>
    </row>
    <row r="42" spans="1:3" ht="21.65" customHeight="1" x14ac:dyDescent="0.35">
      <c r="A42" s="44" t="s">
        <v>143</v>
      </c>
      <c r="B42" s="45" t="s">
        <v>174</v>
      </c>
      <c r="C42" s="46" t="s">
        <v>177</v>
      </c>
    </row>
    <row r="43" spans="1:3" ht="21.65" customHeight="1" x14ac:dyDescent="0.35">
      <c r="A43" s="44" t="s">
        <v>144</v>
      </c>
      <c r="B43" s="45" t="s">
        <v>158</v>
      </c>
      <c r="C43" s="45" t="s">
        <v>165</v>
      </c>
    </row>
    <row r="44" spans="1:3" ht="21.65" customHeight="1" x14ac:dyDescent="0.35">
      <c r="A44" s="44" t="s">
        <v>145</v>
      </c>
      <c r="B44" s="45" t="s">
        <v>173</v>
      </c>
      <c r="C44" s="45" t="s">
        <v>178</v>
      </c>
    </row>
    <row r="45" spans="1:3" ht="21.65" customHeight="1" x14ac:dyDescent="0.35">
      <c r="A45" s="44" t="s">
        <v>146</v>
      </c>
      <c r="B45" s="45" t="s">
        <v>173</v>
      </c>
      <c r="C45" s="45" t="s">
        <v>179</v>
      </c>
    </row>
    <row r="46" spans="1:3" ht="21.65" customHeight="1" x14ac:dyDescent="0.35">
      <c r="A46" s="44" t="s">
        <v>147</v>
      </c>
      <c r="B46" s="45" t="s">
        <v>173</v>
      </c>
      <c r="C46" s="45" t="s">
        <v>179</v>
      </c>
    </row>
    <row r="47" spans="1:3" ht="21.65" customHeight="1" x14ac:dyDescent="0.35">
      <c r="A47" s="44" t="s">
        <v>148</v>
      </c>
      <c r="B47" s="45" t="s">
        <v>171</v>
      </c>
      <c r="C47" s="45" t="s">
        <v>180</v>
      </c>
    </row>
    <row r="48" spans="1:3" ht="21.65" customHeight="1" x14ac:dyDescent="0.35">
      <c r="A48" s="44" t="s">
        <v>149</v>
      </c>
      <c r="B48" s="45" t="s">
        <v>173</v>
      </c>
      <c r="C48" s="45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65723C2B464419559131BB2043E5B" ma:contentTypeVersion="19" ma:contentTypeDescription="Create a new document." ma:contentTypeScope="" ma:versionID="a5ef57a1275ebea60957afb297bb3a2e">
  <xsd:schema xmlns:xsd="http://www.w3.org/2001/XMLSchema" xmlns:xs="http://www.w3.org/2001/XMLSchema" xmlns:p="http://schemas.microsoft.com/office/2006/metadata/properties" xmlns:ns2="6405ea20-0be6-4f5e-9ee6-36cde5761190" xmlns:ns3="e11def22-7c8c-4a3f-9769-09092bac8d10" targetNamespace="http://schemas.microsoft.com/office/2006/metadata/properties" ma:root="true" ma:fieldsID="5a3d38bf2142fed68a6a17bd44e25aa9" ns2:_="" ns3:_="">
    <xsd:import namespace="6405ea20-0be6-4f5e-9ee6-36cde5761190"/>
    <xsd:import namespace="e11def22-7c8c-4a3f-9769-09092bac8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5ea20-0be6-4f5e-9ee6-36cde5761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845005-b1a7-42d4-a10a-fd9549ec2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def22-7c8c-4a3f-9769-09092bac8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327155-1819-44f5-9f5c-221e614bc875}" ma:internalName="TaxCatchAll" ma:showField="CatchAllData" ma:web="e11def22-7c8c-4a3f-9769-09092bac8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05ea20-0be6-4f5e-9ee6-36cde5761190">
      <Terms xmlns="http://schemas.microsoft.com/office/infopath/2007/PartnerControls"/>
    </lcf76f155ced4ddcb4097134ff3c332f>
    <TaxCatchAll xmlns="e11def22-7c8c-4a3f-9769-09092bac8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015379-DDBD-439E-A004-7BC7E19B6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05ea20-0be6-4f5e-9ee6-36cde5761190"/>
    <ds:schemaRef ds:uri="e11def22-7c8c-4a3f-9769-09092bac8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C8D07-00DA-4515-8127-C6963B460995}">
  <ds:schemaRefs>
    <ds:schemaRef ds:uri="http://schemas.microsoft.com/office/2006/metadata/properties"/>
    <ds:schemaRef ds:uri="http://schemas.microsoft.com/office/infopath/2007/PartnerControls"/>
    <ds:schemaRef ds:uri="6405ea20-0be6-4f5e-9ee6-36cde5761190"/>
    <ds:schemaRef ds:uri="e11def22-7c8c-4a3f-9769-09092bac8d10"/>
  </ds:schemaRefs>
</ds:datastoreItem>
</file>

<file path=customXml/itemProps3.xml><?xml version="1.0" encoding="utf-8"?>
<ds:datastoreItem xmlns:ds="http://schemas.openxmlformats.org/officeDocument/2006/customXml" ds:itemID="{8A96E637-0D93-4F15-8D56-447488FA3B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a90d8f5-8963-4b6e-bca9-9ac468bcc7a8}" enabled="0" method="" siteId="{ca90d8f5-8963-4b6e-bca9-9ac468bcc7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RunBook</vt:lpstr>
      <vt:lpstr>Contact  List</vt:lpstr>
      <vt:lpstr>Actual Start-End</vt:lpstr>
      <vt:lpstr>RunBook!Print_Titles</vt:lpstr>
    </vt:vector>
  </TitlesOfParts>
  <Company>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mkloh</dc:creator>
  <cp:lastModifiedBy>Koh Ren Yong  (NCS)</cp:lastModifiedBy>
  <cp:lastPrinted>2019-04-11T05:50:29Z</cp:lastPrinted>
  <dcterms:created xsi:type="dcterms:W3CDTF">2006-01-19T09:36:49Z</dcterms:created>
  <dcterms:modified xsi:type="dcterms:W3CDTF">2026-10-08T03:03:54Z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0x0101000C165723C2B464419559131BB2043E5B</vt:lpwstr>
  </property>
  <property fmtid="{D5CDD505-2E9C-101B-9397-08002B2CF9AE}" pid="4" name="MediaServiceImageTags">
    <vt:lpwstr/>
  </property>
</Properties>
</file>